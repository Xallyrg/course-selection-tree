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zlobinn/Desktop/"/>
    </mc:Choice>
  </mc:AlternateContent>
  <xr:revisionPtr revIDLastSave="0" documentId="8_{A5E1CF02-B39F-3143-8ABA-9744162B6D74}" xr6:coauthVersionLast="47" xr6:coauthVersionMax="47" xr10:uidLastSave="{00000000-0000-0000-0000-000000000000}"/>
  <bookViews>
    <workbookView xWindow="0" yWindow="760" windowWidth="30240" windowHeight="1758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" l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<sst xmlns="http://schemas.openxmlformats.org/spreadsheetml/2006/main" count="353" uniqueCount="205">
  <si>
    <t>Название курса</t>
  </si>
  <si>
    <t>Тип</t>
  </si>
  <si>
    <t>Лекций в неделю</t>
  </si>
  <si>
    <t>Семинаров в неделю</t>
  </si>
  <si>
    <t>Всего занятий в неделю</t>
  </si>
  <si>
    <t>Зачетные единицы</t>
  </si>
  <si>
    <t>Домашних заданий (шт)</t>
  </si>
  <si>
    <t>Квизов / тестов (шт)</t>
  </si>
  <si>
    <t>Промежуточных контролей (шт)</t>
  </si>
  <si>
    <t>Ср. время ДЗ</t>
  </si>
  <si>
    <t>Ср. время ДЗ/нед.</t>
  </si>
  <si>
    <t>Тип итоговой оценки (зачёт / зачёт с оценкой / экзамен)</t>
  </si>
  <si>
    <t>Пререквизиты</t>
  </si>
  <si>
    <t>Блокеры</t>
  </si>
  <si>
    <t>Бонусные баллы (да/нет или число)</t>
  </si>
  <si>
    <t>Ссылка на силлабус</t>
  </si>
  <si>
    <t>calendar_id</t>
  </si>
  <si>
    <t>Метрики бизнеса и продукта. Основной уровень</t>
  </si>
  <si>
    <t>fundamentals</t>
  </si>
  <si>
    <t>экзамен</t>
  </si>
  <si>
    <t>Продуктовая студия</t>
  </si>
  <si>
    <t>≥ 3,5 балла по формуле|экзамен ≥ 3,5</t>
  </si>
  <si>
    <t>Да</t>
  </si>
  <si>
    <t>https://abiding-receipt-b20.notion.site/2d29fd2f411e80099c04c9bc7ee40e4f</t>
  </si>
  <si>
    <t>CAL-001</t>
  </si>
  <si>
    <t>Метрики бизнеса и продукта. Углублённый уровень</t>
  </si>
  <si>
    <t>core</t>
  </si>
  <si>
    <t>https://abiding-receipt-b20.notion.site/2d29fd2f411e80e8b818cbfd1b5af013</t>
  </si>
  <si>
    <t>CAL-002</t>
  </si>
  <si>
    <t>Case Evenings</t>
  </si>
  <si>
    <t>зачёт с оценкой</t>
  </si>
  <si>
    <t>≥ 3,5 балла по формуле</t>
  </si>
  <si>
    <t>Нет</t>
  </si>
  <si>
    <t>https://centraluniversity.notion.site/Case-Evenings-a230179407c74ebcbacbae9b86c4c148</t>
  </si>
  <si>
    <t>CAL-003</t>
  </si>
  <si>
    <t>Управление разработкой IT продукта</t>
  </si>
  <si>
    <t>https://centraluniversity.notion.site/IT-12eaa39a2ce845bba0baaff21c16a64d</t>
  </si>
  <si>
    <t>CAL-004</t>
  </si>
  <si>
    <t>Управление ML-продуктами</t>
  </si>
  <si>
    <t>selected</t>
  </si>
  <si>
    <t>Основы статистики|Python для анализа данных|SQL и базы данных|Machine Learning</t>
  </si>
  <si>
    <t>≥ 3,5 балла по формуле|экзамен ≥ 3,5|2 практических задания ≥ 3,5</t>
  </si>
  <si>
    <t>https://centraluniversity.notion.site/ML-2e2eada9ad1843b7b30f9a651fcf5b8f</t>
  </si>
  <si>
    <t>CAL-005</t>
  </si>
  <si>
    <t>Диджитал маркетинг</t>
  </si>
  <si>
    <t>проект</t>
  </si>
  <si>
    <t>Продуктовая студия|Генерация и валидация гипотез</t>
  </si>
  <si>
    <t>https://chatgpt.com/c/6997250f-f7a4-8330-bedf-60d9c37692f2</t>
  </si>
  <si>
    <t>CAL-006</t>
  </si>
  <si>
    <t>Продуктовый дизайн</t>
  </si>
  <si>
    <t>https://centraluniversity.notion.site/14b8d1403b2b80c39b12fa6ce85145d0</t>
  </si>
  <si>
    <t>CAL-007</t>
  </si>
  <si>
    <t>Визуализация</t>
  </si>
  <si>
    <t>flex</t>
  </si>
  <si>
    <t>Продуктовая студия|Python для анализа данных|SQL и базы данных|Метрики бизнеса и продукта</t>
  </si>
  <si>
    <t>≥ 3,5 балла по формуле|Проект должен быть сдан на оценку ≥ 3,5</t>
  </si>
  <si>
    <t>https://centraluniversity.notion.site/ab24825659144f9cb826efe98d0b8729</t>
  </si>
  <si>
    <t>CAL-008</t>
  </si>
  <si>
    <t>Python для анализа данных</t>
  </si>
  <si>
    <t>Основы Python</t>
  </si>
  <si>
    <t>не указано</t>
  </si>
  <si>
    <t>https://centraluniversity.notion.site/Python-ade4b53b16b3407db396e3ac95271e30</t>
  </si>
  <si>
    <t>CAL-009</t>
  </si>
  <si>
    <t>Data Engineering</t>
  </si>
  <si>
    <t>Основы Python|Python для анализа данных|SQL и базы данных</t>
  </si>
  <si>
    <t>≥ 3,5 балла по формуле|Экзамен ≥ 3,5|Контрольная работа ≥ 3,5</t>
  </si>
  <si>
    <t>https://centraluniversity.notion.site/Data-Engineering-30d797e4890f48128068d20910690321</t>
  </si>
  <si>
    <t>CAL-010</t>
  </si>
  <si>
    <t>Продвинутые методы A/B-тестирования</t>
  </si>
  <si>
    <t>Python для анализа данных|Основы статистики</t>
  </si>
  <si>
    <t>Экзамен (блокирующее мероприятие)</t>
  </si>
  <si>
    <t>https://centraluniversity.notion.site/A-B-62e37b3ab6cd4eec85310f06151558a2</t>
  </si>
  <si>
    <t>CAL-011</t>
  </si>
  <si>
    <t>Основы статистики</t>
  </si>
  <si>
    <t>Midterm|Экзамен</t>
  </si>
  <si>
    <t>https://centraluniversity.notion.site/43df8beacbb542b0b455cd5e2967c8fc</t>
  </si>
  <si>
    <t>CAL-012</t>
  </si>
  <si>
    <t>Machine Learning</t>
  </si>
  <si>
    <t>6 домашних заданий ≥ 3,5|проект ≥ 3,5|итоговая оценка ≥ 3,5</t>
  </si>
  <si>
    <t>https://centraluniversity.notion.site/Machine-Learning-435e420572854d378702975cefe2ae18</t>
  </si>
  <si>
    <t>CAL-013</t>
  </si>
  <si>
    <t>Machine Learning для Product Managers</t>
  </si>
  <si>
    <t>≥ 4 домашних заданий на 3,5 и выше|проект MVP ≥ 3,5|итоговая оценка ≥ 3,5</t>
  </si>
  <si>
    <t>https://centraluniversity.notion.site/bb0b5e26290f4d11b101ffdd2a8733a1</t>
  </si>
  <si>
    <t>CAL-014</t>
  </si>
  <si>
    <t>SQL и базы данных</t>
  </si>
  <si>
    <t>зачет</t>
  </si>
  <si>
    <t>нет</t>
  </si>
  <si>
    <t>промежуточный контроль|зачёт</t>
  </si>
  <si>
    <t>https://centraluniversity.notion.site/SQL-b6f52cde84c34872a93959b8bd02652c</t>
  </si>
  <si>
    <t>CAL-015</t>
  </si>
  <si>
    <t>экзамен ≥ 3,5</t>
  </si>
  <si>
    <t>https://centraluniversity.notion.site/f2412318a5674a71ac7f70b5762815bb</t>
  </si>
  <si>
    <t>CAL-016</t>
  </si>
  <si>
    <t>Soft Skills Lab</t>
  </si>
  <si>
    <t>≥ 3,5 по формуле и (7 посещённых занятий или 4 посещения + итоговый проект ≥ 3,5)</t>
  </si>
  <si>
    <t>https://centraluniversity.notion.site/Soft-Skills-Lab-71d0782a6e364a58847be0bfc5c05bf7</t>
  </si>
  <si>
    <t>CAL-017</t>
  </si>
  <si>
    <t>получение 7+ баллов за проект или выполнение условий по контестам/домашним заданиям</t>
  </si>
  <si>
    <t>https://centraluniversity.notion.site/Python-2498d1403b2b8081bd9cef24abcd6eef</t>
  </si>
  <si>
    <t>CAL-018</t>
  </si>
  <si>
    <t>Онлайн-эксперименты для оптимизации продукта</t>
  </si>
  <si>
    <t>Основы статистики|Python для анализа данных|SQL и базы данных|Продуктовая студия</t>
  </si>
  <si>
    <t>промежуточная аттестация ≥ 3,5|финальная аттестация ≥ 3,5|итог ≥ 3,5 по формуле</t>
  </si>
  <si>
    <t>https://abiding-receipt-b20.notion.site/2cc9fd2f411e8023a7bfd1542234c211</t>
  </si>
  <si>
    <t>CAL-019</t>
  </si>
  <si>
    <t>Causal analysis (Причинно-следственный анализ)</t>
  </si>
  <si>
    <t>Основы статистики; Онлайн-эксперименты для оптимизации продукта; Python для анализа данных</t>
  </si>
  <si>
    <t>экзамен ≥ 3,5|3 контрольные работы ≥ 3,5|итог ≥ 3,5 по формуле</t>
  </si>
  <si>
    <t>https://abiding-receipt-b20.notion.site/Causal-analysis-2cc9fd2f411e8017a25bc942615efe6c</t>
  </si>
  <si>
    <t>CAL-020</t>
  </si>
  <si>
    <t>Принятие решений на основе данных</t>
  </si>
  <si>
    <t>Продуктовая студия|Метрики бизнеса и продукта|Генерация и валидация гипотез|Основы статистики</t>
  </si>
  <si>
    <t>экзамен ≥ 3,5; итог ≥ 3,5 по формуле</t>
  </si>
  <si>
    <t>https://centraluniversity.notion.site/5d4a6dc66242429aaac53ee218d3c22f</t>
  </si>
  <si>
    <t>CAL-021</t>
  </si>
  <si>
    <t>Системный анализ</t>
  </si>
  <si>
    <t>Управление разработкой IT-продукта</t>
  </si>
  <si>
    <t>защита кейса</t>
  </si>
  <si>
    <t>https://centraluniversity.notion.site/2398d1403b2b805d8b76f031b33e3283</t>
  </si>
  <si>
    <t>CAL-022</t>
  </si>
  <si>
    <t>Стратегический и финансовый менеджмент</t>
  </si>
  <si>
    <t>Метрики продукта и бизнеса|Продуктовая студия</t>
  </si>
  <si>
    <t>итоговый проект</t>
  </si>
  <si>
    <t>https://centraluniversity.notion.site/25b8d1403b2b8052af8ac79871c9793a</t>
  </si>
  <si>
    <t>CAL-023</t>
  </si>
  <si>
    <t>Оценка инвестиционной привлекательности проектов</t>
  </si>
  <si>
    <t>https://abiding-receipt-b20.notion.site/2cb9fd2f411e80e1bbbbd91e7f8b9344</t>
  </si>
  <si>
    <t>CAL-024</t>
  </si>
  <si>
    <t>Генерация и валидация гипотез. Основной уровень</t>
  </si>
  <si>
    <t>≥ 3,5 по формуле|≥ 3 домашних работ|≥ 2 защищённых проектов|защита портфолио</t>
  </si>
  <si>
    <t>https://abiding-receipt-b20.notion.site/2cb9fd2f411e8096b96fd3b6afae400e</t>
  </si>
  <si>
    <t>CAL-025</t>
  </si>
  <si>
    <t>Генерация и валидация гипотез. Углублённый уровень</t>
  </si>
  <si>
    <t>≥ 3,5 по формуле|≥ 3 домашних работ|≥ 2 проектов; защита портфолио</t>
  </si>
  <si>
    <t>https://abiding-receipt-b20.notion.site/2cb9fd2f411e80c69912db9b571f5058</t>
  </si>
  <si>
    <t>CAL-026</t>
  </si>
  <si>
    <t>Рост бизнеса как инструмент управления (GROWTH)</t>
  </si>
  <si>
    <t>https://centraluniversity.notion.site/GROWTH-2818d1403b2b806fa3a9fb15647fc31a</t>
  </si>
  <si>
    <t>CAL-027</t>
  </si>
  <si>
    <t>Инструменты разработчика</t>
  </si>
  <si>
    <t>Сданы 3 ДЗ с устной защитой; Контрольная ≥ 4</t>
  </si>
  <si>
    <t>https://centraluniversity.notion.site/d9c33a517fc44e38b166c550583a939c</t>
  </si>
  <si>
    <t>CAL-028</t>
  </si>
  <si>
    <t>Java Core</t>
  </si>
  <si>
    <t>Сданы 3 ДЗ с устной защитой; Экзамен ≥ 4</t>
  </si>
  <si>
    <t>https://centraluniversity.notion.site/Java-Core-ff8354fe22ae490ba3cad2d70b3cfd71</t>
  </si>
  <si>
    <t>CAL-029</t>
  </si>
  <si>
    <t>Алгоритмы и структуры данных. Часть 1</t>
  </si>
  <si>
    <t>Сданы задачи минимум из 3 контестов (с устной защитой); Экзамен ≥ 4</t>
  </si>
  <si>
    <t>https://centraluniversity.notion.site/1-1178d1403b2b807d88fdeb70dbb9da72</t>
  </si>
  <si>
    <t>CAL-030</t>
  </si>
  <si>
    <t>Алгоритмы и структуры данных. Часть 2</t>
  </si>
  <si>
    <t>Сданы задачи минимум из 2 контестов (с устной защитой); Экзамен ≥ 4</t>
  </si>
  <si>
    <t>https://centraluniversity.notion.site/2-16e8d1403b2b80fda351fbbef3d966c5</t>
  </si>
  <si>
    <t>CAL-031</t>
  </si>
  <si>
    <t>Java Spring (Разработка веб-приложений на Java с использованием Spring)</t>
  </si>
  <si>
    <t>Java Core; Инструменты разработчика</t>
  </si>
  <si>
    <t>Устная защита 3 ДЗ; Экзамен ≥ 4</t>
  </si>
  <si>
    <t>https://centraluniversity.notion.site/Java-Spring-Java-Spring-16e8d1403b2b80878972f7a08253702d</t>
  </si>
  <si>
    <t>CAL-032</t>
  </si>
  <si>
    <t>Промышленная разработка</t>
  </si>
  <si>
    <t>Устная защита 3 ДЗ; Зачёт ≥ 4</t>
  </si>
  <si>
    <t>https://centraluniversity.notion.site/16e8d1403b2b805c9225fecf257eb19a</t>
  </si>
  <si>
    <t>CAL-033</t>
  </si>
  <si>
    <t>Сетевые технологии</t>
  </si>
  <si>
    <t>Java Core; Алгоритмы и структуры данных. Часть 2; Промышленная разработка</t>
  </si>
  <si>
    <t>https://centraluniversity.notion.site/23b8d1403b2b800f9b79f3c108fe6c8a</t>
  </si>
  <si>
    <t>CAL-034</t>
  </si>
  <si>
    <t>Информационная безопасность</t>
  </si>
  <si>
    <t>Алгоритмы и структуры данных. Часть 2; Промышленная разработка; Java Spring</t>
  </si>
  <si>
    <t>Сданы 3 ДЗ с устной защитой; Зачёт ≥ 4</t>
  </si>
  <si>
    <t>https://chatgpt.com/c/69c905bd-9c4c-8329-b95d-c6cee41a1248</t>
  </si>
  <si>
    <t>CAL-035</t>
  </si>
  <si>
    <t>Многопоточное программирование</t>
  </si>
  <si>
    <t>Java Core; Алгоритмы и структуры данных; Промышленная разработка</t>
  </si>
  <si>
    <t>https://centraluniversity.notion.site/24e8d1403b2b804da0faf63853854435</t>
  </si>
  <si>
    <t>CAL-036</t>
  </si>
  <si>
    <t>Системы управления базами данных</t>
  </si>
  <si>
    <t>Java Spring; Алгоритмы и структуры данных; Промышленная разработка</t>
  </si>
  <si>
    <t>3 домашних задания с устной защитой сданы; каждый коллоквиум ≥ 4 баллов</t>
  </si>
  <si>
    <t>https://centraluniversity.notion.site/24e8d1403b2b80fe8565c36239998073</t>
  </si>
  <si>
    <t>CAL-037</t>
  </si>
  <si>
    <t>Разработка на языке программирования Kotlin</t>
  </si>
  <si>
    <t>Java Core; Java Spring; Многопоточное программирование; SQL; Git / GitLab / Linux; HTTP / REST</t>
  </si>
  <si>
    <t>Устная защита 3 домашних заданий; зачёт ≥ 4 баллов</t>
  </si>
  <si>
    <t>https://abiding-receipt-b20.notion.site/Kotlin-2c69fd2f411e80f79de1fd59e61c7876</t>
  </si>
  <si>
    <t>CAL-038</t>
  </si>
  <si>
    <t>Разработка на языке программирования Go</t>
  </si>
  <si>
    <t>Java Core; Java Spring; Многопоточное программирование; SQL; Redis; Kafka; Docker; Kubernetes; Git / GitLab / Linux; HTTP / REST</t>
  </si>
  <si>
    <t>https://abiding-receipt-b20.notion.site/Go-2c69fd2f411e80b88ffcc49b0bdd95f0</t>
  </si>
  <si>
    <t>CAL-039</t>
  </si>
  <si>
    <t>Тестирование</t>
  </si>
  <si>
    <t>Java Core; Java Spring; SQL и базы данных; Python/Java (базовые навыки); Архитектура клиент-серверных приложений; Реляционные БД</t>
  </si>
  <si>
    <t>https://abiding-receipt-b20.notion.site/2d39fd2f411e805ea72af826885b7337</t>
  </si>
  <si>
    <t>CAL-040</t>
  </si>
  <si>
    <t>Архитектура программных систем</t>
  </si>
  <si>
    <t>Сетевые технологии; Системы управления базами данных; Многопоточное программирование</t>
  </si>
  <si>
    <t>Экзамен ≥ 4 баллов</t>
  </si>
  <si>
    <t>https://abiding-receipt-b20.notion.site/2d29fd2f411e80088d63edeac9a25e77</t>
  </si>
  <si>
    <t>CAL-041</t>
  </si>
  <si>
    <t>Распределённые системы</t>
  </si>
  <si>
    <t>Устная защита 1 домашнего задания; экзамен ≥ 4 баллов</t>
  </si>
  <si>
    <t>https://abiding-receipt-b20.notion.site/2d99fd2f411e80f0b7f3de5b2681eb4e</t>
  </si>
  <si>
    <t>CAL-042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</si>
</sst>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charset val="1"/>
    </font>
    <font>
      <b/>
      <sz val="13"/>
      <color rgb="FFFA7D00"/>
      <name val="Calibri"/>
      <family val="2"/>
    </font>
    <font>
      <b/>
      <sz val="13"/>
      <color rgb="FFFFFFFF"/>
      <name val="Calibri"/>
      <family val="2"/>
    </font>
    <font>
      <sz val="13"/>
      <color theme="1"/>
      <name val="Arial"/>
      <family val="2"/>
    </font>
    <font>
      <sz val="13"/>
      <color theme="1"/>
      <name val="Calibri"/>
      <family val="2"/>
    </font>
    <font>
      <b/>
      <sz val="13"/>
      <color rgb="FFFA7D00"/>
      <name val="Arial"/>
      <family val="2"/>
      <scheme val="minor"/>
    </font>
    <font>
      <sz val="13"/>
      <color theme="1"/>
      <name val="Arial"/>
      <family val="2"/>
      <scheme val="minor"/>
    </font>
    <font>
      <u/>
      <sz val="13"/>
      <color rgb="FF1155CC"/>
      <name val="Arial"/>
      <family val="2"/>
      <scheme val="minor"/>
    </font>
    <font>
      <u/>
      <sz val="13"/>
      <color rgb="FF0000FF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1" fillId="3" borderId="2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5" fillId="2" borderId="1" xfId="0" applyFont="1" applyFill="1" applyBorder="1"/>
    <xf numFmtId="0" fontId="5" fillId="2" borderId="2" xfId="0" applyFont="1" applyFill="1" applyBorder="1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4" xfId="0" applyBorder="1"/>
    <xf numFmtId="0" fontId="11" fillId="0" borderId="0" xfId="0" applyFont="1" applyAlignment="1">
      <alignment horizontal="center"/>
    </xf>
    <xf numFmtId="0" fontId="10" fillId="4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entraluniversity.notion.site/Machine-Learning-435e420572854d378702975cefe2ae18" TargetMode="External"/><Relationship Id="rId18" Type="http://schemas.openxmlformats.org/officeDocument/2006/relationships/hyperlink" Target="https://centraluniversity.notion.site/Python-2498d1403b2b8081bd9cef24abcd6eef" TargetMode="External"/><Relationship Id="rId26" Type="http://schemas.openxmlformats.org/officeDocument/2006/relationships/hyperlink" Target="https://abiding-receipt-b20.notion.site/2cb9fd2f411e80c69912db9b571f5058" TargetMode="External"/><Relationship Id="rId39" Type="http://schemas.openxmlformats.org/officeDocument/2006/relationships/hyperlink" Target="https://abiding-receipt-b20.notion.site/Go-2c69fd2f411e80b88ffcc49b0bdd95f0" TargetMode="External"/><Relationship Id="rId21" Type="http://schemas.openxmlformats.org/officeDocument/2006/relationships/hyperlink" Target="https://centraluniversity.notion.site/5d4a6dc66242429aaac53ee218d3c22f" TargetMode="External"/><Relationship Id="rId34" Type="http://schemas.openxmlformats.org/officeDocument/2006/relationships/hyperlink" Target="https://centraluniversity.notion.site/23b8d1403b2b800f9b79f3c108fe6c8a" TargetMode="External"/><Relationship Id="rId42" Type="http://schemas.openxmlformats.org/officeDocument/2006/relationships/hyperlink" Target="https://abiding-receipt-b20.notion.site/2d99fd2f411e80f0b7f3de5b2681eb4e" TargetMode="External"/><Relationship Id="rId7" Type="http://schemas.openxmlformats.org/officeDocument/2006/relationships/hyperlink" Target="https://centraluniversity.notion.site/14b8d1403b2b80c39b12fa6ce85145d0" TargetMode="External"/><Relationship Id="rId2" Type="http://schemas.openxmlformats.org/officeDocument/2006/relationships/hyperlink" Target="https://abiding-receipt-b20.notion.site/2d29fd2f411e80e8b818cbfd1b5af013" TargetMode="External"/><Relationship Id="rId16" Type="http://schemas.openxmlformats.org/officeDocument/2006/relationships/hyperlink" Target="https://centraluniversity.notion.site/f2412318a5674a71ac7f70b5762815bb" TargetMode="External"/><Relationship Id="rId20" Type="http://schemas.openxmlformats.org/officeDocument/2006/relationships/hyperlink" Target="https://abiding-receipt-b20.notion.site/Causal-analysis-2cc9fd2f411e8017a25bc942615efe6c" TargetMode="External"/><Relationship Id="rId29" Type="http://schemas.openxmlformats.org/officeDocument/2006/relationships/hyperlink" Target="https://centraluniversity.notion.site/Java-Core-ff8354fe22ae490ba3cad2d70b3cfd71" TargetMode="External"/><Relationship Id="rId41" Type="http://schemas.openxmlformats.org/officeDocument/2006/relationships/hyperlink" Target="https://abiding-receipt-b20.notion.site/2d29fd2f411e80088d63edeac9a25e77" TargetMode="External"/><Relationship Id="rId1" Type="http://schemas.openxmlformats.org/officeDocument/2006/relationships/hyperlink" Target="https://abiding-receipt-b20.notion.site/2d29fd2f411e80099c04c9bc7ee40e4f" TargetMode="External"/><Relationship Id="rId6" Type="http://schemas.openxmlformats.org/officeDocument/2006/relationships/hyperlink" Target="https://chatgpt.com/c/6997250f-f7a4-8330-bedf-60d9c37692f2" TargetMode="External"/><Relationship Id="rId11" Type="http://schemas.openxmlformats.org/officeDocument/2006/relationships/hyperlink" Target="https://centraluniversity.notion.site/A-B-62e37b3ab6cd4eec85310f06151558a2" TargetMode="External"/><Relationship Id="rId24" Type="http://schemas.openxmlformats.org/officeDocument/2006/relationships/hyperlink" Target="https://abiding-receipt-b20.notion.site/2cb9fd2f411e80e1bbbbd91e7f8b9344" TargetMode="External"/><Relationship Id="rId32" Type="http://schemas.openxmlformats.org/officeDocument/2006/relationships/hyperlink" Target="https://centraluniversity.notion.site/Java-Spring-Java-Spring-16e8d1403b2b80878972f7a08253702d" TargetMode="External"/><Relationship Id="rId37" Type="http://schemas.openxmlformats.org/officeDocument/2006/relationships/hyperlink" Target="https://centraluniversity.notion.site/24e8d1403b2b80fe8565c36239998073" TargetMode="External"/><Relationship Id="rId40" Type="http://schemas.openxmlformats.org/officeDocument/2006/relationships/hyperlink" Target="https://abiding-receipt-b20.notion.site/2d39fd2f411e805ea72af826885b7337" TargetMode="External"/><Relationship Id="rId5" Type="http://schemas.openxmlformats.org/officeDocument/2006/relationships/hyperlink" Target="https://centraluniversity.notion.site/ML-2e2eada9ad1843b7b30f9a651fcf5b8f" TargetMode="External"/><Relationship Id="rId15" Type="http://schemas.openxmlformats.org/officeDocument/2006/relationships/hyperlink" Target="https://centraluniversity.notion.site/SQL-b6f52cde84c34872a93959b8bd02652c" TargetMode="External"/><Relationship Id="rId23" Type="http://schemas.openxmlformats.org/officeDocument/2006/relationships/hyperlink" Target="https://centraluniversity.notion.site/25b8d1403b2b8052af8ac79871c9793a" TargetMode="External"/><Relationship Id="rId28" Type="http://schemas.openxmlformats.org/officeDocument/2006/relationships/hyperlink" Target="https://centraluniversity.notion.site/d9c33a517fc44e38b166c550583a939c" TargetMode="External"/><Relationship Id="rId36" Type="http://schemas.openxmlformats.org/officeDocument/2006/relationships/hyperlink" Target="https://centraluniversity.notion.site/24e8d1403b2b804da0faf63853854435" TargetMode="External"/><Relationship Id="rId10" Type="http://schemas.openxmlformats.org/officeDocument/2006/relationships/hyperlink" Target="https://centraluniversity.notion.site/Data-Engineering-30d797e4890f48128068d20910690321" TargetMode="External"/><Relationship Id="rId19" Type="http://schemas.openxmlformats.org/officeDocument/2006/relationships/hyperlink" Target="https://abiding-receipt-b20.notion.site/2cc9fd2f411e8023a7bfd1542234c211" TargetMode="External"/><Relationship Id="rId31" Type="http://schemas.openxmlformats.org/officeDocument/2006/relationships/hyperlink" Target="https://centraluniversity.notion.site/2-16e8d1403b2b80fda351fbbef3d966c5" TargetMode="External"/><Relationship Id="rId4" Type="http://schemas.openxmlformats.org/officeDocument/2006/relationships/hyperlink" Target="https://centraluniversity.notion.site/IT-12eaa39a2ce845bba0baaff21c16a64d" TargetMode="External"/><Relationship Id="rId9" Type="http://schemas.openxmlformats.org/officeDocument/2006/relationships/hyperlink" Target="https://centraluniversity.notion.site/Python-ade4b53b16b3407db396e3ac95271e30" TargetMode="External"/><Relationship Id="rId14" Type="http://schemas.openxmlformats.org/officeDocument/2006/relationships/hyperlink" Target="https://centraluniversity.notion.site/bb0b5e26290f4d11b101ffdd2a8733a1" TargetMode="External"/><Relationship Id="rId22" Type="http://schemas.openxmlformats.org/officeDocument/2006/relationships/hyperlink" Target="https://centraluniversity.notion.site/2398d1403b2b805d8b76f031b33e3283" TargetMode="External"/><Relationship Id="rId27" Type="http://schemas.openxmlformats.org/officeDocument/2006/relationships/hyperlink" Target="https://centraluniversity.notion.site/GROWTH-2818d1403b2b806fa3a9fb15647fc31a" TargetMode="External"/><Relationship Id="rId30" Type="http://schemas.openxmlformats.org/officeDocument/2006/relationships/hyperlink" Target="https://centraluniversity.notion.site/1-1178d1403b2b807d88fdeb70dbb9da72" TargetMode="External"/><Relationship Id="rId35" Type="http://schemas.openxmlformats.org/officeDocument/2006/relationships/hyperlink" Target="https://chatgpt.com/c/69c905bd-9c4c-8329-b95d-c6cee41a1248" TargetMode="External"/><Relationship Id="rId8" Type="http://schemas.openxmlformats.org/officeDocument/2006/relationships/hyperlink" Target="https://centraluniversity.notion.site/ab24825659144f9cb826efe98d0b8729" TargetMode="External"/><Relationship Id="rId3" Type="http://schemas.openxmlformats.org/officeDocument/2006/relationships/hyperlink" Target="https://centraluniversity.notion.site/Case-Evenings-a230179407c74ebcbacbae9b86c4c148" TargetMode="External"/><Relationship Id="rId12" Type="http://schemas.openxmlformats.org/officeDocument/2006/relationships/hyperlink" Target="https://centraluniversity.notion.site/43df8beacbb542b0b455cd5e2967c8fc" TargetMode="External"/><Relationship Id="rId17" Type="http://schemas.openxmlformats.org/officeDocument/2006/relationships/hyperlink" Target="https://centraluniversity.notion.site/Soft-Skills-Lab-71d0782a6e364a58847be0bfc5c05bf7" TargetMode="External"/><Relationship Id="rId25" Type="http://schemas.openxmlformats.org/officeDocument/2006/relationships/hyperlink" Target="https://abiding-receipt-b20.notion.site/2cb9fd2f411e8096b96fd3b6afae400e" TargetMode="External"/><Relationship Id="rId33" Type="http://schemas.openxmlformats.org/officeDocument/2006/relationships/hyperlink" Target="https://centraluniversity.notion.site/16e8d1403b2b805c9225fecf257eb19a" TargetMode="External"/><Relationship Id="rId38" Type="http://schemas.openxmlformats.org/officeDocument/2006/relationships/hyperlink" Target="https://abiding-receipt-b20.notion.site/Kotlin-2c69fd2f411e80f79de1fd59e61c78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zoomScale="75" zoomScaleNormal="100" workbookViewId="0">
      <selection activeCell="R7" sqref="R7"/>
    </sheetView>
  </sheetViews>
  <sheetFormatPr baseColWidth="10" defaultColWidth="12.6640625" defaultRowHeight="13" x14ac:dyDescent="0.15"/>
  <cols>
    <col min="1" max="1" width="23" customWidth="1"/>
    <col min="10" max="10" width="13.33203125" customWidth="1"/>
    <col min="17" max="17" width="13" customWidth="1"/>
  </cols>
  <sheetData>
    <row r="1" spans="1:27" ht="17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15" t="s">
        <v>16</v>
      </c>
      <c r="R1" s="16"/>
      <c r="S1" s="13"/>
      <c r="T1" s="1"/>
      <c r="U1" s="2"/>
      <c r="V1" s="2"/>
      <c r="W1" s="2"/>
      <c r="X1" s="2"/>
      <c r="Y1" s="2"/>
      <c r="Z1" s="2"/>
      <c r="AA1" s="2"/>
    </row>
    <row r="2" spans="1:27" ht="17" customHeight="1" x14ac:dyDescent="0.2">
      <c r="A2" s="8" t="s">
        <v>17</v>
      </c>
      <c r="B2" s="8" t="s">
        <v>18</v>
      </c>
      <c r="C2" s="9">
        <v>1</v>
      </c>
      <c r="D2" s="9">
        <v>1</v>
      </c>
      <c r="E2" s="9">
        <v>2</v>
      </c>
      <c r="F2" s="9">
        <v>1</v>
      </c>
      <c r="G2" s="9">
        <v>4</v>
      </c>
      <c r="H2" s="9">
        <v>0</v>
      </c>
      <c r="I2" s="9">
        <v>2</v>
      </c>
      <c r="J2" s="8">
        <v>2</v>
      </c>
      <c r="K2" s="8">
        <f t="shared" ref="K2:K43" si="0">ROUND(J2*G2/16,2)</f>
        <v>0.5</v>
      </c>
      <c r="L2" s="8" t="s">
        <v>19</v>
      </c>
      <c r="M2" s="8" t="s">
        <v>20</v>
      </c>
      <c r="N2" s="8" t="s">
        <v>21</v>
      </c>
      <c r="O2" s="8" t="s">
        <v>22</v>
      </c>
      <c r="P2" s="10" t="s">
        <v>23</v>
      </c>
      <c r="Q2" s="14" t="s">
        <v>24</v>
      </c>
      <c r="R2" s="4"/>
      <c r="S2" s="4"/>
      <c r="T2" s="5"/>
      <c r="U2" s="2"/>
      <c r="V2" s="2"/>
      <c r="W2" s="2"/>
      <c r="X2" s="2"/>
      <c r="Y2" s="2"/>
      <c r="Z2" s="2"/>
      <c r="AA2" s="2"/>
    </row>
    <row r="3" spans="1:27" ht="17" customHeight="1" x14ac:dyDescent="0.2">
      <c r="A3" s="8" t="s">
        <v>25</v>
      </c>
      <c r="B3" s="8" t="s">
        <v>26</v>
      </c>
      <c r="C3" s="9">
        <v>1</v>
      </c>
      <c r="D3" s="9">
        <v>0.7</v>
      </c>
      <c r="E3" s="9">
        <v>1.7</v>
      </c>
      <c r="F3" s="9">
        <v>1</v>
      </c>
      <c r="G3" s="9">
        <v>4</v>
      </c>
      <c r="H3" s="9">
        <v>0</v>
      </c>
      <c r="I3" s="9">
        <v>2</v>
      </c>
      <c r="J3" s="8">
        <v>3.9</v>
      </c>
      <c r="K3" s="8">
        <f t="shared" si="0"/>
        <v>0.98</v>
      </c>
      <c r="L3" s="8" t="s">
        <v>19</v>
      </c>
      <c r="M3" s="8" t="s">
        <v>20</v>
      </c>
      <c r="N3" s="8" t="s">
        <v>21</v>
      </c>
      <c r="O3" s="8" t="s">
        <v>22</v>
      </c>
      <c r="P3" s="10" t="s">
        <v>27</v>
      </c>
      <c r="Q3" s="14" t="s">
        <v>28</v>
      </c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7" customHeight="1" x14ac:dyDescent="0.2">
      <c r="A4" s="8" t="s">
        <v>29</v>
      </c>
      <c r="B4" s="8" t="s">
        <v>26</v>
      </c>
      <c r="C4" s="9">
        <v>0</v>
      </c>
      <c r="D4" s="9">
        <v>1</v>
      </c>
      <c r="E4" s="9">
        <v>1</v>
      </c>
      <c r="F4" s="9">
        <v>5</v>
      </c>
      <c r="G4" s="9">
        <v>4</v>
      </c>
      <c r="H4" s="9">
        <v>5</v>
      </c>
      <c r="I4" s="9">
        <v>0</v>
      </c>
      <c r="J4" s="8">
        <v>2.1</v>
      </c>
      <c r="K4" s="8">
        <f t="shared" si="0"/>
        <v>0.53</v>
      </c>
      <c r="L4" s="8" t="s">
        <v>30</v>
      </c>
      <c r="M4" s="8" t="s">
        <v>20</v>
      </c>
      <c r="N4" s="8" t="s">
        <v>31</v>
      </c>
      <c r="O4" s="8" t="s">
        <v>32</v>
      </c>
      <c r="P4" s="10" t="s">
        <v>33</v>
      </c>
      <c r="Q4" s="14" t="s">
        <v>34</v>
      </c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7" customHeight="1" x14ac:dyDescent="0.2">
      <c r="A5" s="8" t="s">
        <v>35</v>
      </c>
      <c r="B5" s="8" t="s">
        <v>26</v>
      </c>
      <c r="C5" s="9">
        <v>1.5</v>
      </c>
      <c r="D5" s="9">
        <v>0.5</v>
      </c>
      <c r="E5" s="9">
        <v>2</v>
      </c>
      <c r="F5" s="9">
        <v>5</v>
      </c>
      <c r="G5" s="9">
        <v>6</v>
      </c>
      <c r="H5" s="9">
        <v>0</v>
      </c>
      <c r="I5" s="9">
        <v>0</v>
      </c>
      <c r="J5" s="8">
        <v>2.8</v>
      </c>
      <c r="K5" s="8">
        <f t="shared" si="0"/>
        <v>1.05</v>
      </c>
      <c r="L5" s="8" t="s">
        <v>19</v>
      </c>
      <c r="M5" s="8" t="s">
        <v>20</v>
      </c>
      <c r="N5" s="8" t="s">
        <v>21</v>
      </c>
      <c r="O5" s="8" t="s">
        <v>22</v>
      </c>
      <c r="P5" s="10" t="s">
        <v>36</v>
      </c>
      <c r="Q5" s="14" t="s">
        <v>37</v>
      </c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7" customHeight="1" x14ac:dyDescent="0.2">
      <c r="A6" s="8" t="s">
        <v>38</v>
      </c>
      <c r="B6" s="8" t="s">
        <v>39</v>
      </c>
      <c r="C6" s="9">
        <v>1</v>
      </c>
      <c r="D6" s="9">
        <v>0.5</v>
      </c>
      <c r="E6" s="9">
        <v>1.5</v>
      </c>
      <c r="F6" s="9">
        <v>3</v>
      </c>
      <c r="G6" s="9">
        <v>3</v>
      </c>
      <c r="H6" s="9">
        <v>0</v>
      </c>
      <c r="I6" s="9">
        <v>0</v>
      </c>
      <c r="J6" s="8">
        <v>2.7</v>
      </c>
      <c r="K6" s="8">
        <f t="shared" si="0"/>
        <v>0.51</v>
      </c>
      <c r="L6" s="8" t="s">
        <v>19</v>
      </c>
      <c r="M6" s="8" t="s">
        <v>40</v>
      </c>
      <c r="N6" s="8" t="s">
        <v>41</v>
      </c>
      <c r="O6" s="8" t="s">
        <v>22</v>
      </c>
      <c r="P6" s="10" t="s">
        <v>42</v>
      </c>
      <c r="Q6" s="14" t="s">
        <v>43</v>
      </c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7" customHeight="1" x14ac:dyDescent="0.2">
      <c r="A7" s="8" t="s">
        <v>44</v>
      </c>
      <c r="B7" s="8" t="s">
        <v>26</v>
      </c>
      <c r="C7" s="9">
        <v>1</v>
      </c>
      <c r="D7" s="9">
        <v>1</v>
      </c>
      <c r="E7" s="9">
        <v>2</v>
      </c>
      <c r="F7" s="9">
        <v>5</v>
      </c>
      <c r="G7" s="9">
        <v>2</v>
      </c>
      <c r="H7" s="9">
        <v>10</v>
      </c>
      <c r="I7" s="9">
        <v>0</v>
      </c>
      <c r="J7" s="8">
        <v>4.2</v>
      </c>
      <c r="K7" s="8">
        <f t="shared" si="0"/>
        <v>0.53</v>
      </c>
      <c r="L7" s="8" t="s">
        <v>45</v>
      </c>
      <c r="M7" s="8" t="s">
        <v>46</v>
      </c>
      <c r="N7" s="8" t="s">
        <v>31</v>
      </c>
      <c r="O7" s="8" t="s">
        <v>32</v>
      </c>
      <c r="P7" s="10" t="s">
        <v>47</v>
      </c>
      <c r="Q7" s="14" t="s">
        <v>48</v>
      </c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7" customHeight="1" x14ac:dyDescent="0.2">
      <c r="A8" s="8" t="s">
        <v>49</v>
      </c>
      <c r="B8" s="8" t="s">
        <v>26</v>
      </c>
      <c r="C8" s="9">
        <v>0</v>
      </c>
      <c r="D8" s="9">
        <v>1.3</v>
      </c>
      <c r="E8" s="9">
        <v>1.3</v>
      </c>
      <c r="F8" s="9">
        <v>5</v>
      </c>
      <c r="G8" s="9">
        <v>12</v>
      </c>
      <c r="H8" s="9">
        <v>0</v>
      </c>
      <c r="I8" s="9">
        <v>0</v>
      </c>
      <c r="J8" s="8">
        <v>4</v>
      </c>
      <c r="K8" s="8">
        <f t="shared" si="0"/>
        <v>3</v>
      </c>
      <c r="L8" s="8" t="s">
        <v>45</v>
      </c>
      <c r="M8" s="8" t="s">
        <v>46</v>
      </c>
      <c r="N8" s="8" t="s">
        <v>31</v>
      </c>
      <c r="O8" s="8" t="s">
        <v>22</v>
      </c>
      <c r="P8" s="10" t="s">
        <v>50</v>
      </c>
      <c r="Q8" s="14" t="s">
        <v>51</v>
      </c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7" customHeight="1" x14ac:dyDescent="0.2">
      <c r="A9" s="8" t="s">
        <v>52</v>
      </c>
      <c r="B9" s="8" t="s">
        <v>53</v>
      </c>
      <c r="C9" s="9">
        <v>1</v>
      </c>
      <c r="D9" s="9">
        <v>1</v>
      </c>
      <c r="E9" s="9">
        <v>2</v>
      </c>
      <c r="F9" s="9">
        <v>5</v>
      </c>
      <c r="G9" s="9">
        <v>13</v>
      </c>
      <c r="H9" s="9">
        <v>0</v>
      </c>
      <c r="I9" s="9">
        <v>0</v>
      </c>
      <c r="J9" s="8">
        <v>4.7</v>
      </c>
      <c r="K9" s="8">
        <f t="shared" si="0"/>
        <v>3.82</v>
      </c>
      <c r="L9" s="8" t="s">
        <v>45</v>
      </c>
      <c r="M9" s="8" t="s">
        <v>54</v>
      </c>
      <c r="N9" s="8" t="s">
        <v>55</v>
      </c>
      <c r="O9" s="8" t="s">
        <v>22</v>
      </c>
      <c r="P9" s="10" t="s">
        <v>56</v>
      </c>
      <c r="Q9" s="14" t="s">
        <v>57</v>
      </c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7" customHeight="1" x14ac:dyDescent="0.2">
      <c r="A10" s="8" t="s">
        <v>58</v>
      </c>
      <c r="B10" s="8" t="s">
        <v>18</v>
      </c>
      <c r="C10" s="9">
        <v>1</v>
      </c>
      <c r="D10" s="9">
        <v>1</v>
      </c>
      <c r="E10" s="9">
        <v>2</v>
      </c>
      <c r="F10" s="9">
        <v>1</v>
      </c>
      <c r="G10" s="9">
        <v>7</v>
      </c>
      <c r="H10" s="9">
        <v>0</v>
      </c>
      <c r="I10" s="9">
        <v>0</v>
      </c>
      <c r="J10" s="8">
        <v>2.2999999999999998</v>
      </c>
      <c r="K10" s="8">
        <f t="shared" si="0"/>
        <v>1.01</v>
      </c>
      <c r="L10" s="8" t="s">
        <v>45</v>
      </c>
      <c r="M10" s="8" t="s">
        <v>59</v>
      </c>
      <c r="N10" s="8" t="s">
        <v>60</v>
      </c>
      <c r="O10" s="8" t="s">
        <v>32</v>
      </c>
      <c r="P10" s="10" t="s">
        <v>61</v>
      </c>
      <c r="Q10" s="14" t="s">
        <v>62</v>
      </c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7" customHeight="1" x14ac:dyDescent="0.2">
      <c r="A11" s="8" t="s">
        <v>63</v>
      </c>
      <c r="B11" s="8" t="s">
        <v>26</v>
      </c>
      <c r="C11" s="9">
        <v>1</v>
      </c>
      <c r="D11" s="9">
        <v>1</v>
      </c>
      <c r="E11" s="9">
        <v>2</v>
      </c>
      <c r="F11" s="9">
        <v>1</v>
      </c>
      <c r="G11" s="9">
        <v>12</v>
      </c>
      <c r="H11" s="9">
        <v>0</v>
      </c>
      <c r="I11" s="9">
        <v>1</v>
      </c>
      <c r="J11" s="8">
        <v>3.3</v>
      </c>
      <c r="K11" s="8">
        <f t="shared" si="0"/>
        <v>2.48</v>
      </c>
      <c r="L11" s="8" t="s">
        <v>19</v>
      </c>
      <c r="M11" s="8" t="s">
        <v>64</v>
      </c>
      <c r="N11" s="8" t="s">
        <v>65</v>
      </c>
      <c r="O11" s="8" t="s">
        <v>22</v>
      </c>
      <c r="P11" s="10" t="s">
        <v>66</v>
      </c>
      <c r="Q11" s="14" t="s">
        <v>67</v>
      </c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7" customHeight="1" x14ac:dyDescent="0.2">
      <c r="A12" s="8" t="s">
        <v>68</v>
      </c>
      <c r="B12" s="8" t="s">
        <v>26</v>
      </c>
      <c r="C12" s="9">
        <v>1</v>
      </c>
      <c r="D12" s="9">
        <v>1</v>
      </c>
      <c r="E12" s="9">
        <v>2</v>
      </c>
      <c r="F12" s="9">
        <v>1</v>
      </c>
      <c r="G12" s="9">
        <v>5</v>
      </c>
      <c r="H12" s="9">
        <v>0</v>
      </c>
      <c r="I12" s="9">
        <v>0</v>
      </c>
      <c r="J12" s="8">
        <v>2.1</v>
      </c>
      <c r="K12" s="8">
        <f t="shared" si="0"/>
        <v>0.66</v>
      </c>
      <c r="L12" s="8" t="s">
        <v>19</v>
      </c>
      <c r="M12" s="8" t="s">
        <v>69</v>
      </c>
      <c r="N12" s="8" t="s">
        <v>70</v>
      </c>
      <c r="O12" s="8" t="s">
        <v>22</v>
      </c>
      <c r="P12" s="10" t="s">
        <v>71</v>
      </c>
      <c r="Q12" s="14" t="s">
        <v>72</v>
      </c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7" customHeight="1" x14ac:dyDescent="0.2">
      <c r="A13" s="8" t="s">
        <v>73</v>
      </c>
      <c r="B13" s="8" t="s">
        <v>18</v>
      </c>
      <c r="C13" s="9">
        <v>1</v>
      </c>
      <c r="D13" s="9">
        <v>1</v>
      </c>
      <c r="E13" s="9">
        <v>2</v>
      </c>
      <c r="F13" s="9">
        <v>1</v>
      </c>
      <c r="G13" s="9">
        <v>14</v>
      </c>
      <c r="H13" s="9">
        <v>0</v>
      </c>
      <c r="I13" s="9">
        <v>1</v>
      </c>
      <c r="J13" s="8">
        <v>2.7</v>
      </c>
      <c r="K13" s="8">
        <f t="shared" si="0"/>
        <v>2.36</v>
      </c>
      <c r="L13" s="8" t="s">
        <v>19</v>
      </c>
      <c r="M13" s="8" t="s">
        <v>59</v>
      </c>
      <c r="N13" s="8" t="s">
        <v>74</v>
      </c>
      <c r="O13" s="8" t="s">
        <v>32</v>
      </c>
      <c r="P13" s="10" t="s">
        <v>75</v>
      </c>
      <c r="Q13" s="14" t="s">
        <v>76</v>
      </c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7" customHeight="1" x14ac:dyDescent="0.2">
      <c r="A14" s="8" t="s">
        <v>77</v>
      </c>
      <c r="B14" s="8" t="s">
        <v>18</v>
      </c>
      <c r="C14" s="9">
        <v>2</v>
      </c>
      <c r="D14" s="9">
        <v>1</v>
      </c>
      <c r="E14" s="9">
        <v>3</v>
      </c>
      <c r="F14" s="9">
        <v>1</v>
      </c>
      <c r="G14" s="9">
        <v>8</v>
      </c>
      <c r="H14" s="9">
        <v>5</v>
      </c>
      <c r="I14" s="9">
        <v>0</v>
      </c>
      <c r="J14" s="8">
        <v>3.5</v>
      </c>
      <c r="K14" s="8">
        <f t="shared" si="0"/>
        <v>1.75</v>
      </c>
      <c r="L14" s="8" t="s">
        <v>19</v>
      </c>
      <c r="M14" s="8" t="s">
        <v>59</v>
      </c>
      <c r="N14" s="8" t="s">
        <v>78</v>
      </c>
      <c r="O14" s="8" t="s">
        <v>22</v>
      </c>
      <c r="P14" s="10" t="s">
        <v>79</v>
      </c>
      <c r="Q14" s="14" t="s">
        <v>80</v>
      </c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7" customHeight="1" x14ac:dyDescent="0.2">
      <c r="A15" s="8" t="s">
        <v>81</v>
      </c>
      <c r="B15" s="8" t="s">
        <v>18</v>
      </c>
      <c r="C15" s="9">
        <v>1</v>
      </c>
      <c r="D15" s="9">
        <v>1</v>
      </c>
      <c r="E15" s="9">
        <v>2</v>
      </c>
      <c r="F15" s="9">
        <v>1</v>
      </c>
      <c r="G15" s="9">
        <v>14</v>
      </c>
      <c r="H15" s="9">
        <v>15</v>
      </c>
      <c r="I15" s="9">
        <v>0</v>
      </c>
      <c r="J15" s="8">
        <v>2.1</v>
      </c>
      <c r="K15" s="8">
        <f t="shared" si="0"/>
        <v>1.84</v>
      </c>
      <c r="L15" s="8" t="s">
        <v>19</v>
      </c>
      <c r="M15" s="8" t="s">
        <v>69</v>
      </c>
      <c r="N15" s="8" t="s">
        <v>82</v>
      </c>
      <c r="O15" s="8" t="s">
        <v>22</v>
      </c>
      <c r="P15" s="10" t="s">
        <v>83</v>
      </c>
      <c r="Q15" s="14" t="s">
        <v>84</v>
      </c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7" customHeight="1" x14ac:dyDescent="0.2">
      <c r="A16" s="8" t="s">
        <v>85</v>
      </c>
      <c r="B16" s="8" t="s">
        <v>18</v>
      </c>
      <c r="C16" s="9">
        <v>1</v>
      </c>
      <c r="D16" s="9">
        <v>1</v>
      </c>
      <c r="E16" s="9">
        <v>2</v>
      </c>
      <c r="F16" s="9">
        <v>1</v>
      </c>
      <c r="G16" s="9">
        <v>7</v>
      </c>
      <c r="H16" s="9">
        <v>0</v>
      </c>
      <c r="I16" s="9">
        <v>1</v>
      </c>
      <c r="J16" s="8">
        <v>2.6</v>
      </c>
      <c r="K16" s="8">
        <f t="shared" si="0"/>
        <v>1.1399999999999999</v>
      </c>
      <c r="L16" s="8" t="s">
        <v>86</v>
      </c>
      <c r="M16" s="8" t="s">
        <v>87</v>
      </c>
      <c r="N16" s="8" t="s">
        <v>88</v>
      </c>
      <c r="O16" s="8" t="s">
        <v>22</v>
      </c>
      <c r="P16" s="10" t="s">
        <v>89</v>
      </c>
      <c r="Q16" s="14" t="s">
        <v>90</v>
      </c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7" customHeight="1" x14ac:dyDescent="0.2">
      <c r="A17" s="8" t="s">
        <v>20</v>
      </c>
      <c r="B17" s="8" t="s">
        <v>18</v>
      </c>
      <c r="C17" s="9">
        <v>1</v>
      </c>
      <c r="D17" s="9">
        <v>0</v>
      </c>
      <c r="E17" s="9">
        <v>1</v>
      </c>
      <c r="F17" s="9">
        <v>1</v>
      </c>
      <c r="G17" s="9">
        <v>9</v>
      </c>
      <c r="H17" s="9">
        <v>0</v>
      </c>
      <c r="I17" s="9">
        <v>0</v>
      </c>
      <c r="J17" s="8">
        <v>3.9</v>
      </c>
      <c r="K17" s="8">
        <f t="shared" si="0"/>
        <v>2.19</v>
      </c>
      <c r="L17" s="8" t="s">
        <v>19</v>
      </c>
      <c r="M17" s="8" t="s">
        <v>87</v>
      </c>
      <c r="N17" s="8" t="s">
        <v>91</v>
      </c>
      <c r="O17" s="8" t="s">
        <v>22</v>
      </c>
      <c r="P17" s="10" t="s">
        <v>92</v>
      </c>
      <c r="Q17" s="14" t="s">
        <v>93</v>
      </c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7" customHeight="1" x14ac:dyDescent="0.2">
      <c r="A18" s="8" t="s">
        <v>94</v>
      </c>
      <c r="B18" s="8" t="s">
        <v>18</v>
      </c>
      <c r="C18" s="9">
        <v>0</v>
      </c>
      <c r="D18" s="9">
        <v>1</v>
      </c>
      <c r="E18" s="9">
        <v>1</v>
      </c>
      <c r="F18" s="9">
        <v>1</v>
      </c>
      <c r="G18" s="9">
        <v>4</v>
      </c>
      <c r="H18" s="9">
        <v>0</v>
      </c>
      <c r="I18" s="9">
        <v>0</v>
      </c>
      <c r="J18" s="8">
        <v>3.6</v>
      </c>
      <c r="K18" s="8">
        <f t="shared" si="0"/>
        <v>0.9</v>
      </c>
      <c r="L18" s="8" t="s">
        <v>86</v>
      </c>
      <c r="M18" s="8" t="s">
        <v>87</v>
      </c>
      <c r="N18" s="8" t="s">
        <v>95</v>
      </c>
      <c r="O18" s="8" t="s">
        <v>32</v>
      </c>
      <c r="P18" s="10" t="s">
        <v>96</v>
      </c>
      <c r="Q18" s="14" t="s">
        <v>97</v>
      </c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7" customHeight="1" x14ac:dyDescent="0.2">
      <c r="A19" s="8" t="s">
        <v>59</v>
      </c>
      <c r="B19" s="8" t="s">
        <v>18</v>
      </c>
      <c r="C19" s="9">
        <v>0</v>
      </c>
      <c r="D19" s="9">
        <v>5</v>
      </c>
      <c r="E19" s="9">
        <v>5</v>
      </c>
      <c r="F19" s="9">
        <v>1</v>
      </c>
      <c r="G19" s="9">
        <v>0</v>
      </c>
      <c r="H19" s="9">
        <v>3</v>
      </c>
      <c r="I19" s="9">
        <v>0</v>
      </c>
      <c r="J19" s="8">
        <v>0</v>
      </c>
      <c r="K19" s="8">
        <f t="shared" si="0"/>
        <v>0</v>
      </c>
      <c r="L19" s="8" t="s">
        <v>86</v>
      </c>
      <c r="M19" s="8" t="s">
        <v>87</v>
      </c>
      <c r="N19" s="8" t="s">
        <v>98</v>
      </c>
      <c r="O19" s="8" t="s">
        <v>22</v>
      </c>
      <c r="P19" s="10" t="s">
        <v>99</v>
      </c>
      <c r="Q19" s="14" t="s">
        <v>100</v>
      </c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7" customHeight="1" x14ac:dyDescent="0.2">
      <c r="A20" s="8" t="s">
        <v>101</v>
      </c>
      <c r="B20" s="8" t="s">
        <v>26</v>
      </c>
      <c r="C20" s="8">
        <v>1</v>
      </c>
      <c r="D20" s="8">
        <v>1</v>
      </c>
      <c r="E20" s="8">
        <v>2</v>
      </c>
      <c r="F20" s="8">
        <v>1</v>
      </c>
      <c r="G20" s="8">
        <v>8</v>
      </c>
      <c r="H20" s="8">
        <v>0</v>
      </c>
      <c r="I20" s="8">
        <v>1</v>
      </c>
      <c r="J20" s="8">
        <v>3.8</v>
      </c>
      <c r="K20" s="8">
        <f t="shared" si="0"/>
        <v>1.9</v>
      </c>
      <c r="L20" s="8" t="s">
        <v>19</v>
      </c>
      <c r="M20" s="8" t="s">
        <v>102</v>
      </c>
      <c r="N20" s="8" t="s">
        <v>103</v>
      </c>
      <c r="O20" s="8" t="s">
        <v>22</v>
      </c>
      <c r="P20" s="11" t="s">
        <v>104</v>
      </c>
      <c r="Q20" s="14" t="s">
        <v>105</v>
      </c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7" customHeight="1" x14ac:dyDescent="0.2">
      <c r="A21" s="8" t="s">
        <v>106</v>
      </c>
      <c r="B21" s="8" t="s">
        <v>26</v>
      </c>
      <c r="C21" s="8">
        <v>1</v>
      </c>
      <c r="D21" s="8">
        <v>1</v>
      </c>
      <c r="E21" s="8">
        <v>2</v>
      </c>
      <c r="F21" s="8">
        <v>5</v>
      </c>
      <c r="G21" s="8">
        <v>8</v>
      </c>
      <c r="H21" s="8">
        <v>0</v>
      </c>
      <c r="I21" s="8">
        <v>3</v>
      </c>
      <c r="J21" s="8">
        <v>4.4000000000000004</v>
      </c>
      <c r="K21" s="8">
        <f t="shared" si="0"/>
        <v>2.2000000000000002</v>
      </c>
      <c r="L21" s="8" t="s">
        <v>19</v>
      </c>
      <c r="M21" s="8" t="s">
        <v>107</v>
      </c>
      <c r="N21" s="8" t="s">
        <v>108</v>
      </c>
      <c r="O21" s="8" t="s">
        <v>22</v>
      </c>
      <c r="P21" s="11" t="s">
        <v>109</v>
      </c>
      <c r="Q21" s="14" t="s">
        <v>110</v>
      </c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7" customHeight="1" x14ac:dyDescent="0.2">
      <c r="A22" s="8" t="s">
        <v>111</v>
      </c>
      <c r="B22" s="8" t="s">
        <v>39</v>
      </c>
      <c r="C22" s="8">
        <v>0</v>
      </c>
      <c r="D22" s="8">
        <v>2</v>
      </c>
      <c r="E22" s="8">
        <v>2</v>
      </c>
      <c r="F22" s="8">
        <v>3</v>
      </c>
      <c r="G22" s="8">
        <v>9</v>
      </c>
      <c r="H22" s="8">
        <v>0</v>
      </c>
      <c r="I22" s="8">
        <v>0</v>
      </c>
      <c r="J22" s="8">
        <v>2</v>
      </c>
      <c r="K22" s="8">
        <f t="shared" si="0"/>
        <v>1.1299999999999999</v>
      </c>
      <c r="L22" s="8" t="s">
        <v>19</v>
      </c>
      <c r="M22" s="8" t="s">
        <v>112</v>
      </c>
      <c r="N22" s="8" t="s">
        <v>113</v>
      </c>
      <c r="O22" s="8" t="s">
        <v>22</v>
      </c>
      <c r="P22" s="11" t="s">
        <v>114</v>
      </c>
      <c r="Q22" s="14" t="s">
        <v>115</v>
      </c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7" customHeight="1" x14ac:dyDescent="0.2">
      <c r="A23" s="8" t="s">
        <v>116</v>
      </c>
      <c r="B23" s="8" t="s">
        <v>26</v>
      </c>
      <c r="C23" s="8">
        <v>0</v>
      </c>
      <c r="D23" s="8">
        <v>2</v>
      </c>
      <c r="E23" s="8">
        <v>2</v>
      </c>
      <c r="F23" s="8">
        <v>5</v>
      </c>
      <c r="G23" s="8">
        <v>10</v>
      </c>
      <c r="H23" s="8">
        <v>0</v>
      </c>
      <c r="I23" s="8">
        <v>4</v>
      </c>
      <c r="J23" s="8">
        <v>4.4000000000000004</v>
      </c>
      <c r="K23" s="8">
        <f t="shared" si="0"/>
        <v>2.75</v>
      </c>
      <c r="L23" s="8" t="s">
        <v>30</v>
      </c>
      <c r="M23" s="8" t="s">
        <v>117</v>
      </c>
      <c r="N23" s="8" t="s">
        <v>118</v>
      </c>
      <c r="O23" s="8" t="s">
        <v>32</v>
      </c>
      <c r="P23" s="11" t="s">
        <v>119</v>
      </c>
      <c r="Q23" s="14" t="s">
        <v>120</v>
      </c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7" customHeight="1" x14ac:dyDescent="0.2">
      <c r="A24" s="8" t="s">
        <v>121</v>
      </c>
      <c r="B24" s="8" t="s">
        <v>26</v>
      </c>
      <c r="C24" s="8">
        <v>1</v>
      </c>
      <c r="D24" s="8">
        <v>1</v>
      </c>
      <c r="E24" s="8">
        <v>2</v>
      </c>
      <c r="F24" s="8">
        <v>5</v>
      </c>
      <c r="G24" s="8">
        <v>14</v>
      </c>
      <c r="H24" s="8">
        <v>0</v>
      </c>
      <c r="I24" s="8">
        <v>0</v>
      </c>
      <c r="J24" s="8">
        <v>4.0999999999999996</v>
      </c>
      <c r="K24" s="8">
        <f t="shared" si="0"/>
        <v>3.59</v>
      </c>
      <c r="L24" s="8" t="s">
        <v>19</v>
      </c>
      <c r="M24" s="8" t="s">
        <v>122</v>
      </c>
      <c r="N24" s="8" t="s">
        <v>123</v>
      </c>
      <c r="O24" s="8" t="s">
        <v>22</v>
      </c>
      <c r="P24" s="11" t="s">
        <v>124</v>
      </c>
      <c r="Q24" s="14" t="s">
        <v>125</v>
      </c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7" customHeight="1" x14ac:dyDescent="0.2">
      <c r="A25" s="8" t="s">
        <v>126</v>
      </c>
      <c r="B25" s="8" t="s">
        <v>39</v>
      </c>
      <c r="C25" s="8">
        <v>1</v>
      </c>
      <c r="D25" s="8">
        <v>0</v>
      </c>
      <c r="E25" s="8">
        <v>1</v>
      </c>
      <c r="F25" s="8">
        <v>2</v>
      </c>
      <c r="G25" s="8">
        <v>6</v>
      </c>
      <c r="H25" s="8">
        <v>0</v>
      </c>
      <c r="I25" s="8">
        <v>1</v>
      </c>
      <c r="J25" s="8">
        <v>3</v>
      </c>
      <c r="K25" s="8">
        <f t="shared" si="0"/>
        <v>1.1299999999999999</v>
      </c>
      <c r="L25" s="8" t="s">
        <v>86</v>
      </c>
      <c r="M25" s="8" t="s">
        <v>87</v>
      </c>
      <c r="N25" s="8" t="s">
        <v>31</v>
      </c>
      <c r="O25" s="8" t="s">
        <v>32</v>
      </c>
      <c r="P25" s="11" t="s">
        <v>127</v>
      </c>
      <c r="Q25" s="14" t="s">
        <v>128</v>
      </c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7" customHeight="1" x14ac:dyDescent="0.2">
      <c r="A26" s="8" t="s">
        <v>129</v>
      </c>
      <c r="B26" s="8" t="s">
        <v>26</v>
      </c>
      <c r="C26" s="8">
        <v>1</v>
      </c>
      <c r="D26" s="8">
        <v>1</v>
      </c>
      <c r="E26" s="8">
        <v>2</v>
      </c>
      <c r="F26" s="8">
        <v>5</v>
      </c>
      <c r="G26" s="8">
        <v>6</v>
      </c>
      <c r="H26" s="8">
        <v>0</v>
      </c>
      <c r="I26" s="8">
        <v>3</v>
      </c>
      <c r="J26" s="8">
        <v>2.5</v>
      </c>
      <c r="K26" s="8">
        <f t="shared" si="0"/>
        <v>0.94</v>
      </c>
      <c r="L26" s="8" t="s">
        <v>30</v>
      </c>
      <c r="M26" s="8" t="s">
        <v>20</v>
      </c>
      <c r="N26" s="8" t="s">
        <v>130</v>
      </c>
      <c r="O26" s="8" t="s">
        <v>32</v>
      </c>
      <c r="P26" s="11" t="s">
        <v>131</v>
      </c>
      <c r="Q26" s="14" t="s">
        <v>132</v>
      </c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7" customHeight="1" x14ac:dyDescent="0.2">
      <c r="A27" s="8" t="s">
        <v>133</v>
      </c>
      <c r="B27" s="8" t="s">
        <v>39</v>
      </c>
      <c r="C27" s="8">
        <v>1</v>
      </c>
      <c r="D27" s="8">
        <v>1</v>
      </c>
      <c r="E27" s="8">
        <v>2</v>
      </c>
      <c r="F27" s="8">
        <v>5</v>
      </c>
      <c r="G27" s="8">
        <v>6</v>
      </c>
      <c r="H27" s="8">
        <v>0</v>
      </c>
      <c r="I27" s="8">
        <v>3</v>
      </c>
      <c r="J27" s="8">
        <v>4.9000000000000004</v>
      </c>
      <c r="K27" s="8">
        <f t="shared" si="0"/>
        <v>1.84</v>
      </c>
      <c r="L27" s="8" t="s">
        <v>30</v>
      </c>
      <c r="M27" s="8" t="s">
        <v>20</v>
      </c>
      <c r="N27" s="8" t="s">
        <v>134</v>
      </c>
      <c r="O27" s="8" t="s">
        <v>32</v>
      </c>
      <c r="P27" s="11" t="s">
        <v>135</v>
      </c>
      <c r="Q27" s="14" t="s">
        <v>136</v>
      </c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7" customHeight="1" x14ac:dyDescent="0.2">
      <c r="A28" s="8" t="s">
        <v>137</v>
      </c>
      <c r="B28" s="8" t="s">
        <v>39</v>
      </c>
      <c r="C28" s="8">
        <v>1</v>
      </c>
      <c r="D28" s="8">
        <v>2</v>
      </c>
      <c r="E28" s="8">
        <v>3</v>
      </c>
      <c r="F28" s="8">
        <v>2</v>
      </c>
      <c r="G28" s="8">
        <v>6</v>
      </c>
      <c r="H28" s="8">
        <v>0</v>
      </c>
      <c r="I28" s="8">
        <v>0</v>
      </c>
      <c r="J28" s="8">
        <v>3</v>
      </c>
      <c r="K28" s="8">
        <f t="shared" si="0"/>
        <v>1.1299999999999999</v>
      </c>
      <c r="L28" s="8" t="s">
        <v>19</v>
      </c>
      <c r="M28" s="8" t="s">
        <v>87</v>
      </c>
      <c r="N28" s="8" t="s">
        <v>31</v>
      </c>
      <c r="O28" s="8" t="s">
        <v>32</v>
      </c>
      <c r="P28" s="11" t="s">
        <v>138</v>
      </c>
      <c r="Q28" s="14" t="s">
        <v>139</v>
      </c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7" customHeight="1" x14ac:dyDescent="0.2">
      <c r="A29" s="8" t="s">
        <v>140</v>
      </c>
      <c r="B29" s="8" t="s">
        <v>53</v>
      </c>
      <c r="C29" s="8">
        <v>1</v>
      </c>
      <c r="D29" s="8">
        <v>1</v>
      </c>
      <c r="E29" s="8">
        <v>2</v>
      </c>
      <c r="F29" s="8">
        <v>5</v>
      </c>
      <c r="G29" s="8">
        <v>8</v>
      </c>
      <c r="H29" s="8">
        <v>0</v>
      </c>
      <c r="I29" s="8">
        <v>1</v>
      </c>
      <c r="J29" s="8">
        <v>2.2999999999999998</v>
      </c>
      <c r="K29" s="8">
        <f t="shared" si="0"/>
        <v>1.1499999999999999</v>
      </c>
      <c r="L29" s="8" t="s">
        <v>86</v>
      </c>
      <c r="M29" s="8" t="s">
        <v>87</v>
      </c>
      <c r="N29" s="12" t="s">
        <v>141</v>
      </c>
      <c r="O29" s="8" t="s">
        <v>32</v>
      </c>
      <c r="P29" s="11" t="s">
        <v>142</v>
      </c>
      <c r="Q29" s="14" t="s">
        <v>143</v>
      </c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7" customHeight="1" x14ac:dyDescent="0.2">
      <c r="A30" s="8" t="s">
        <v>144</v>
      </c>
      <c r="B30" s="8" t="s">
        <v>53</v>
      </c>
      <c r="C30" s="8">
        <v>1</v>
      </c>
      <c r="D30" s="8">
        <v>1</v>
      </c>
      <c r="E30" s="8">
        <v>2</v>
      </c>
      <c r="F30" s="8">
        <v>5</v>
      </c>
      <c r="G30" s="8">
        <v>10</v>
      </c>
      <c r="H30" s="8">
        <v>0</v>
      </c>
      <c r="I30" s="8">
        <v>1</v>
      </c>
      <c r="J30" s="8">
        <v>2.2999999999999998</v>
      </c>
      <c r="K30" s="8">
        <f t="shared" si="0"/>
        <v>1.44</v>
      </c>
      <c r="L30" s="8" t="s">
        <v>19</v>
      </c>
      <c r="M30" s="8" t="s">
        <v>87</v>
      </c>
      <c r="N30" s="12" t="s">
        <v>145</v>
      </c>
      <c r="O30" s="8" t="s">
        <v>32</v>
      </c>
      <c r="P30" s="11" t="s">
        <v>146</v>
      </c>
      <c r="Q30" s="14" t="s">
        <v>147</v>
      </c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7" customHeight="1" x14ac:dyDescent="0.2">
      <c r="A31" s="8" t="s">
        <v>148</v>
      </c>
      <c r="B31" s="8" t="s">
        <v>53</v>
      </c>
      <c r="C31" s="8">
        <v>1</v>
      </c>
      <c r="D31" s="8">
        <v>1</v>
      </c>
      <c r="E31" s="8">
        <v>2</v>
      </c>
      <c r="F31" s="8">
        <v>5</v>
      </c>
      <c r="G31" s="8">
        <v>2</v>
      </c>
      <c r="H31" s="8">
        <v>0</v>
      </c>
      <c r="I31" s="8">
        <v>5</v>
      </c>
      <c r="J31" s="8">
        <v>4.5</v>
      </c>
      <c r="K31" s="8">
        <f t="shared" si="0"/>
        <v>0.56000000000000005</v>
      </c>
      <c r="L31" s="8" t="s">
        <v>19</v>
      </c>
      <c r="M31" s="8" t="s">
        <v>87</v>
      </c>
      <c r="N31" s="12" t="s">
        <v>149</v>
      </c>
      <c r="O31" s="8" t="s">
        <v>32</v>
      </c>
      <c r="P31" s="11" t="s">
        <v>150</v>
      </c>
      <c r="Q31" s="14" t="s">
        <v>151</v>
      </c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7" customHeight="1" x14ac:dyDescent="0.2">
      <c r="A32" s="8" t="s">
        <v>152</v>
      </c>
      <c r="B32" s="8" t="s">
        <v>53</v>
      </c>
      <c r="C32" s="8">
        <v>1</v>
      </c>
      <c r="D32" s="8">
        <v>1</v>
      </c>
      <c r="E32" s="8">
        <v>2</v>
      </c>
      <c r="F32" s="8">
        <v>5</v>
      </c>
      <c r="G32" s="8">
        <v>2</v>
      </c>
      <c r="H32" s="8">
        <v>0</v>
      </c>
      <c r="I32" s="8">
        <v>4</v>
      </c>
      <c r="J32" s="8">
        <v>3.8</v>
      </c>
      <c r="K32" s="8">
        <f t="shared" si="0"/>
        <v>0.48</v>
      </c>
      <c r="L32" s="8" t="s">
        <v>19</v>
      </c>
      <c r="M32" s="12" t="s">
        <v>148</v>
      </c>
      <c r="N32" s="12" t="s">
        <v>153</v>
      </c>
      <c r="O32" s="8" t="s">
        <v>32</v>
      </c>
      <c r="P32" s="11" t="s">
        <v>154</v>
      </c>
      <c r="Q32" s="14" t="s">
        <v>155</v>
      </c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7" customHeight="1" x14ac:dyDescent="0.2">
      <c r="A33" s="8" t="s">
        <v>156</v>
      </c>
      <c r="B33" s="8" t="s">
        <v>53</v>
      </c>
      <c r="C33" s="8">
        <v>1</v>
      </c>
      <c r="D33" s="8">
        <v>1</v>
      </c>
      <c r="E33" s="8">
        <v>2</v>
      </c>
      <c r="F33" s="8">
        <v>5</v>
      </c>
      <c r="G33" s="8">
        <v>5</v>
      </c>
      <c r="H33" s="8">
        <v>0</v>
      </c>
      <c r="I33" s="8">
        <v>1</v>
      </c>
      <c r="J33" s="8">
        <v>4.4000000000000004</v>
      </c>
      <c r="K33" s="8">
        <f t="shared" si="0"/>
        <v>1.38</v>
      </c>
      <c r="L33" s="8" t="s">
        <v>19</v>
      </c>
      <c r="M33" s="12" t="s">
        <v>157</v>
      </c>
      <c r="N33" s="12" t="s">
        <v>158</v>
      </c>
      <c r="O33" s="8" t="s">
        <v>32</v>
      </c>
      <c r="P33" s="11" t="s">
        <v>159</v>
      </c>
      <c r="Q33" s="14" t="s">
        <v>160</v>
      </c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7" customHeight="1" x14ac:dyDescent="0.2">
      <c r="A34" s="8" t="s">
        <v>161</v>
      </c>
      <c r="B34" s="8" t="s">
        <v>53</v>
      </c>
      <c r="C34" s="8">
        <v>1</v>
      </c>
      <c r="D34" s="8">
        <v>1</v>
      </c>
      <c r="E34" s="8">
        <v>2</v>
      </c>
      <c r="F34" s="8">
        <v>5</v>
      </c>
      <c r="G34" s="8">
        <v>7</v>
      </c>
      <c r="H34" s="8">
        <v>0</v>
      </c>
      <c r="I34" s="8">
        <v>1</v>
      </c>
      <c r="J34" s="8">
        <v>4.2</v>
      </c>
      <c r="K34" s="8">
        <f t="shared" si="0"/>
        <v>1.84</v>
      </c>
      <c r="L34" s="8" t="s">
        <v>30</v>
      </c>
      <c r="M34" s="12" t="s">
        <v>140</v>
      </c>
      <c r="N34" s="12" t="s">
        <v>162</v>
      </c>
      <c r="O34" s="8" t="s">
        <v>32</v>
      </c>
      <c r="P34" s="11" t="s">
        <v>163</v>
      </c>
      <c r="Q34" s="14" t="s">
        <v>164</v>
      </c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7" customHeight="1" x14ac:dyDescent="0.2">
      <c r="A35" s="8" t="s">
        <v>165</v>
      </c>
      <c r="B35" s="8" t="s">
        <v>53</v>
      </c>
      <c r="C35" s="8">
        <v>1</v>
      </c>
      <c r="D35" s="8">
        <v>1</v>
      </c>
      <c r="E35" s="8">
        <v>2</v>
      </c>
      <c r="F35" s="8">
        <v>5</v>
      </c>
      <c r="G35" s="8">
        <v>10</v>
      </c>
      <c r="H35" s="8">
        <v>0</v>
      </c>
      <c r="I35" s="8">
        <v>1</v>
      </c>
      <c r="J35" s="8">
        <v>3.6</v>
      </c>
      <c r="K35" s="8">
        <f t="shared" si="0"/>
        <v>2.25</v>
      </c>
      <c r="L35" s="8" t="s">
        <v>19</v>
      </c>
      <c r="M35" s="12" t="s">
        <v>166</v>
      </c>
      <c r="N35" s="12" t="s">
        <v>145</v>
      </c>
      <c r="O35" s="8" t="s">
        <v>22</v>
      </c>
      <c r="P35" s="11" t="s">
        <v>167</v>
      </c>
      <c r="Q35" s="14" t="s">
        <v>168</v>
      </c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7" customHeight="1" x14ac:dyDescent="0.2">
      <c r="A36" s="8" t="s">
        <v>169</v>
      </c>
      <c r="B36" s="8" t="s">
        <v>53</v>
      </c>
      <c r="C36" s="8">
        <v>0.5</v>
      </c>
      <c r="D36" s="8">
        <v>0.5</v>
      </c>
      <c r="E36" s="8">
        <v>1</v>
      </c>
      <c r="F36" s="8">
        <v>3</v>
      </c>
      <c r="G36" s="8">
        <v>6</v>
      </c>
      <c r="H36" s="8">
        <v>0</v>
      </c>
      <c r="I36" s="8">
        <v>4</v>
      </c>
      <c r="J36" s="8">
        <v>4.9000000000000004</v>
      </c>
      <c r="K36" s="8">
        <f t="shared" si="0"/>
        <v>1.84</v>
      </c>
      <c r="L36" s="8" t="s">
        <v>30</v>
      </c>
      <c r="M36" s="12" t="s">
        <v>170</v>
      </c>
      <c r="N36" s="12" t="s">
        <v>171</v>
      </c>
      <c r="O36" s="8" t="s">
        <v>22</v>
      </c>
      <c r="P36" s="11" t="s">
        <v>172</v>
      </c>
      <c r="Q36" s="14" t="s">
        <v>173</v>
      </c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7" customHeight="1" x14ac:dyDescent="0.2">
      <c r="A37" s="8" t="s">
        <v>174</v>
      </c>
      <c r="B37" s="8" t="s">
        <v>53</v>
      </c>
      <c r="C37" s="8">
        <v>1</v>
      </c>
      <c r="D37" s="8">
        <v>1</v>
      </c>
      <c r="E37" s="8">
        <v>2</v>
      </c>
      <c r="F37" s="8">
        <v>5</v>
      </c>
      <c r="G37" s="8">
        <v>12</v>
      </c>
      <c r="H37" s="8">
        <v>0</v>
      </c>
      <c r="I37" s="8">
        <v>1</v>
      </c>
      <c r="J37" s="8">
        <v>3.1</v>
      </c>
      <c r="K37" s="8">
        <f t="shared" si="0"/>
        <v>2.33</v>
      </c>
      <c r="L37" s="8" t="s">
        <v>19</v>
      </c>
      <c r="M37" s="12" t="s">
        <v>175</v>
      </c>
      <c r="N37" s="12" t="s">
        <v>145</v>
      </c>
      <c r="O37" s="8" t="s">
        <v>32</v>
      </c>
      <c r="P37" s="11" t="s">
        <v>176</v>
      </c>
      <c r="Q37" s="14" t="s">
        <v>177</v>
      </c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7" customHeight="1" x14ac:dyDescent="0.2">
      <c r="A38" s="8" t="s">
        <v>178</v>
      </c>
      <c r="B38" s="8" t="s">
        <v>53</v>
      </c>
      <c r="C38" s="8">
        <v>1</v>
      </c>
      <c r="D38" s="8">
        <v>1</v>
      </c>
      <c r="E38" s="8">
        <v>2</v>
      </c>
      <c r="F38" s="8">
        <v>5</v>
      </c>
      <c r="G38" s="8">
        <v>10</v>
      </c>
      <c r="H38" s="8">
        <v>0</v>
      </c>
      <c r="I38" s="8">
        <v>2</v>
      </c>
      <c r="J38" s="8">
        <v>3.7</v>
      </c>
      <c r="K38" s="8">
        <f t="shared" si="0"/>
        <v>2.31</v>
      </c>
      <c r="L38" s="8" t="s">
        <v>30</v>
      </c>
      <c r="M38" s="12" t="s">
        <v>179</v>
      </c>
      <c r="N38" s="12" t="s">
        <v>180</v>
      </c>
      <c r="O38" s="8" t="s">
        <v>32</v>
      </c>
      <c r="P38" s="11" t="s">
        <v>181</v>
      </c>
      <c r="Q38" s="14" t="s">
        <v>182</v>
      </c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7" customHeight="1" x14ac:dyDescent="0.2">
      <c r="A39" s="8" t="s">
        <v>183</v>
      </c>
      <c r="B39" s="8" t="s">
        <v>53</v>
      </c>
      <c r="C39" s="8">
        <v>1</v>
      </c>
      <c r="D39" s="8">
        <v>1</v>
      </c>
      <c r="E39" s="8">
        <v>2</v>
      </c>
      <c r="F39" s="8">
        <v>3</v>
      </c>
      <c r="G39" s="8">
        <v>7</v>
      </c>
      <c r="H39" s="8">
        <v>0</v>
      </c>
      <c r="I39" s="8">
        <v>1</v>
      </c>
      <c r="J39" s="8">
        <v>4.5</v>
      </c>
      <c r="K39" s="8">
        <f t="shared" si="0"/>
        <v>1.97</v>
      </c>
      <c r="L39" s="8" t="s">
        <v>30</v>
      </c>
      <c r="M39" s="12" t="s">
        <v>184</v>
      </c>
      <c r="N39" s="12" t="s">
        <v>185</v>
      </c>
      <c r="O39" s="8" t="s">
        <v>32</v>
      </c>
      <c r="P39" s="11" t="s">
        <v>186</v>
      </c>
      <c r="Q39" s="14" t="s">
        <v>187</v>
      </c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7" customHeight="1" x14ac:dyDescent="0.2">
      <c r="A40" s="8" t="s">
        <v>188</v>
      </c>
      <c r="B40" s="8" t="s">
        <v>53</v>
      </c>
      <c r="C40" s="8">
        <v>1</v>
      </c>
      <c r="D40" s="8">
        <v>1</v>
      </c>
      <c r="E40" s="8">
        <v>2</v>
      </c>
      <c r="F40" s="8">
        <v>3</v>
      </c>
      <c r="G40" s="8">
        <v>6</v>
      </c>
      <c r="H40" s="8">
        <v>0</v>
      </c>
      <c r="I40" s="8">
        <v>1</v>
      </c>
      <c r="J40" s="8">
        <v>3.9</v>
      </c>
      <c r="K40" s="8">
        <f t="shared" si="0"/>
        <v>1.46</v>
      </c>
      <c r="L40" s="8" t="s">
        <v>30</v>
      </c>
      <c r="M40" s="12" t="s">
        <v>189</v>
      </c>
      <c r="N40" s="12" t="s">
        <v>185</v>
      </c>
      <c r="O40" s="8" t="s">
        <v>32</v>
      </c>
      <c r="P40" s="11" t="s">
        <v>190</v>
      </c>
      <c r="Q40" s="14" t="s">
        <v>191</v>
      </c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7" customHeight="1" x14ac:dyDescent="0.2">
      <c r="A41" s="8" t="s">
        <v>192</v>
      </c>
      <c r="B41" s="8" t="s">
        <v>53</v>
      </c>
      <c r="C41" s="8">
        <v>1</v>
      </c>
      <c r="D41" s="8">
        <v>1</v>
      </c>
      <c r="E41" s="8">
        <v>2</v>
      </c>
      <c r="F41" s="8">
        <v>5</v>
      </c>
      <c r="G41" s="8">
        <v>5</v>
      </c>
      <c r="H41" s="8">
        <v>0</v>
      </c>
      <c r="I41" s="8">
        <v>1</v>
      </c>
      <c r="J41" s="8">
        <v>4.5999999999999996</v>
      </c>
      <c r="K41" s="8">
        <f t="shared" si="0"/>
        <v>1.44</v>
      </c>
      <c r="L41" s="8" t="s">
        <v>30</v>
      </c>
      <c r="M41" s="12" t="s">
        <v>193</v>
      </c>
      <c r="N41" s="12" t="s">
        <v>185</v>
      </c>
      <c r="O41" s="8" t="s">
        <v>32</v>
      </c>
      <c r="P41" s="11" t="s">
        <v>194</v>
      </c>
      <c r="Q41" s="14" t="s">
        <v>195</v>
      </c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7" customHeight="1" x14ac:dyDescent="0.2">
      <c r="A42" s="8" t="s">
        <v>196</v>
      </c>
      <c r="B42" s="8" t="s">
        <v>53</v>
      </c>
      <c r="C42" s="8">
        <v>1</v>
      </c>
      <c r="D42" s="8">
        <v>1</v>
      </c>
      <c r="E42" s="8">
        <v>2</v>
      </c>
      <c r="F42" s="8">
        <v>5</v>
      </c>
      <c r="G42" s="8">
        <v>4</v>
      </c>
      <c r="H42" s="8">
        <v>0</v>
      </c>
      <c r="I42" s="8">
        <v>1</v>
      </c>
      <c r="J42" s="8">
        <v>3.7</v>
      </c>
      <c r="K42" s="8">
        <f t="shared" si="0"/>
        <v>0.93</v>
      </c>
      <c r="L42" s="8" t="s">
        <v>19</v>
      </c>
      <c r="M42" s="12" t="s">
        <v>197</v>
      </c>
      <c r="N42" s="12" t="s">
        <v>198</v>
      </c>
      <c r="O42" s="8" t="s">
        <v>32</v>
      </c>
      <c r="P42" s="11" t="s">
        <v>199</v>
      </c>
      <c r="Q42" s="14" t="s">
        <v>200</v>
      </c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7" customHeight="1" x14ac:dyDescent="0.2">
      <c r="A43" s="8" t="s">
        <v>201</v>
      </c>
      <c r="B43" s="8" t="s">
        <v>53</v>
      </c>
      <c r="C43" s="8">
        <v>1</v>
      </c>
      <c r="D43" s="8">
        <v>1</v>
      </c>
      <c r="E43" s="8">
        <v>2</v>
      </c>
      <c r="F43" s="8">
        <v>5</v>
      </c>
      <c r="G43" s="8">
        <v>5</v>
      </c>
      <c r="H43" s="8">
        <v>0</v>
      </c>
      <c r="I43" s="8">
        <v>0</v>
      </c>
      <c r="J43" s="8">
        <v>4.0999999999999996</v>
      </c>
      <c r="K43" s="8">
        <f t="shared" si="0"/>
        <v>1.28</v>
      </c>
      <c r="L43" s="8" t="s">
        <v>19</v>
      </c>
      <c r="M43" s="12" t="s">
        <v>197</v>
      </c>
      <c r="N43" s="12" t="s">
        <v>202</v>
      </c>
      <c r="O43" s="8" t="s">
        <v>32</v>
      </c>
      <c r="P43" s="11" t="s">
        <v>203</v>
      </c>
      <c r="Q43" s="14" t="s">
        <v>204</v>
      </c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7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7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7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7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7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7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7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7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7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7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7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7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7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7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7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7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7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7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7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7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7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7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7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7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7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7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7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7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7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7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7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7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7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7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7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7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7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7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7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7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7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7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7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7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7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7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7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7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7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7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7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7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7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7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7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7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7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7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7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7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7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7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7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7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7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7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7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7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7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7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7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7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7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7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7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7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7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7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7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7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7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7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7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7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7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7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7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7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7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7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7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7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7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7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7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7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7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7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7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7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7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7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7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7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7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7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7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7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7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7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7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7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7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7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7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7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7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7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7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7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7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7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7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7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7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7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7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7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7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7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7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7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7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7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7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7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7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7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7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7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7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7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7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7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7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7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7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7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7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7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7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7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7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7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7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7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7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7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7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7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7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7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7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7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7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7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7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7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7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7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7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7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7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7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7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7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7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7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7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7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7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7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7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7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7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7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7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7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7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7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7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7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7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7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7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7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7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7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7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7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7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7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7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7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7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7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7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7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7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7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7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7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7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7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7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7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7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7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7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7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7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7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7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7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7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7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7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7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7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7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7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7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7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7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7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7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7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7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7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7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7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7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7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7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7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7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7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7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7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7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7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7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7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7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7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7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7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7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7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7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7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7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7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7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7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7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7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7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7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7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7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7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7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7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7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7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7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7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7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7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7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7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7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7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7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7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7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7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7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7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7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7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7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7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7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7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7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7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7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7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7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7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7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7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7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7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7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7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7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7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7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7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7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7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7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7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7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7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7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7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7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7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7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7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7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7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7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7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7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7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7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7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7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7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7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7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7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7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7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7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7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7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7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7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7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7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7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7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7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7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7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7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7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7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7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7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7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7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7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7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7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7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7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7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7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7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7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7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7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7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7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7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7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7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7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7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7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7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7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7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7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7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7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7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7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7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7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7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7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7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7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7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7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7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7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7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7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7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7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7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7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7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7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7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7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7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7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7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7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7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7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7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7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7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7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7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7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7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7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7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7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7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7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7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7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7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7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7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7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7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7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7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7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7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7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7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7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7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7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7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7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7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7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7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7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7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7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7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7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7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7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7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7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7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7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7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7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7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7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7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7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7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7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7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7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7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7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7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7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7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7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7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7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7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7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7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7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7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7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7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7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7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7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7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7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7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7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7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7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7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7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7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7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7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7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7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7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7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7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7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7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7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7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7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7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7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7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7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7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7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7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7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7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7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7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7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7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7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7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7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7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7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7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7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7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7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7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7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7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7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7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7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7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7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7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7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7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7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7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7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7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7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7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7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7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7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7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7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7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7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7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7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7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7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7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7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7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7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7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7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7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7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7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7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7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7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7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7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7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7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7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7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7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7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7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7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7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7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7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7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7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7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7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7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7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7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7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7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7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7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7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7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7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7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7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7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7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7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7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7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7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7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7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7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7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7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7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7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7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7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7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7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7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7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7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7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7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7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7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7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7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7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7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7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7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7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7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7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7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7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7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7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7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7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7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7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7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7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7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7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7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7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7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7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7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7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7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7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7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7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7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7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7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7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7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7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7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7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7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7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7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7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7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7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7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7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7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7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7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7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7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7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7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7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7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7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7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7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7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7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7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7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7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7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7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7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7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7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7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7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7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7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7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7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7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7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7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7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7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7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7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7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7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7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7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7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7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7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7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7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7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7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7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7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7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7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7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7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7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7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7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7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7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7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7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7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7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7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7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7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7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7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7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7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7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7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7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7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7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7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7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7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7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7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7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7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7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7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7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7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7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7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7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7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7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7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7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7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7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7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7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7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7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7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7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7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7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7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7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7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7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7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7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7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7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7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7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7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7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7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7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7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7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7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7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7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7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7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7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7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7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7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7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7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7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7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7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7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7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7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7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7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7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7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7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7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7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7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7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7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7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7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7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7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7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7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7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7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7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7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7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7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7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7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7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7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7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7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7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7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7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7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7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7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7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7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7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7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7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7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7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7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7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7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7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7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7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7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7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7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7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7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7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7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7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7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7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7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7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7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7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7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7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7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7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7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7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7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7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7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7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7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7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7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7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7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7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7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7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7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7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7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7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7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7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7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7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7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7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7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7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7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7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7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7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7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7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7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7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7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7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7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7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7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7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7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7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7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7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7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7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7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7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7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7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7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7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7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7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7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7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7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7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7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7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7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7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7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7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7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7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7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7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7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7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7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7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7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7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7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7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7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7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7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7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7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7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7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7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7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7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7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7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7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7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7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7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Q1:R1"/>
  </mergeCells>
  <dataValidations count="3">
    <dataValidation type="list" allowBlank="1" showErrorMessage="1" sqref="O2:O43" xr:uid="{00000000-0002-0000-0000-000000000000}">
      <formula1>"Да,Нет"</formula1>
      <formula2>0</formula2>
    </dataValidation>
    <dataValidation type="list" allowBlank="1" showErrorMessage="1" sqref="L2:L43" xr:uid="{00000000-0002-0000-0000-000001000000}">
      <formula1>"зачет,зачёт с оценкой,экзамен,проект"</formula1>
      <formula2>0</formula2>
    </dataValidation>
    <dataValidation type="list" allowBlank="1" showErrorMessage="1" sqref="B2:B43" xr:uid="{00000000-0002-0000-0000-000002000000}">
      <formula1>"fundamentals,core,flex,selected"</formula1>
      <formula2>0</formula2>
    </dataValidation>
  </dataValidations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P7" r:id="rId6" xr:uid="{00000000-0004-0000-0000-000005000000}"/>
    <hyperlink ref="P8" r:id="rId7" xr:uid="{00000000-0004-0000-0000-000006000000}"/>
    <hyperlink ref="P9" r:id="rId8" xr:uid="{00000000-0004-0000-0000-000007000000}"/>
    <hyperlink ref="P10" r:id="rId9" xr:uid="{00000000-0004-0000-0000-000008000000}"/>
    <hyperlink ref="P11" r:id="rId10" xr:uid="{00000000-0004-0000-0000-000009000000}"/>
    <hyperlink ref="P12" r:id="rId11" xr:uid="{00000000-0004-0000-0000-00000A000000}"/>
    <hyperlink ref="P13" r:id="rId12" xr:uid="{00000000-0004-0000-0000-00000B000000}"/>
    <hyperlink ref="P14" r:id="rId13" xr:uid="{00000000-0004-0000-0000-00000C000000}"/>
    <hyperlink ref="P15" r:id="rId14" xr:uid="{00000000-0004-0000-0000-00000D000000}"/>
    <hyperlink ref="P16" r:id="rId15" xr:uid="{00000000-0004-0000-0000-00000E000000}"/>
    <hyperlink ref="P17" r:id="rId16" xr:uid="{00000000-0004-0000-0000-00000F000000}"/>
    <hyperlink ref="P18" r:id="rId17" xr:uid="{00000000-0004-0000-0000-000010000000}"/>
    <hyperlink ref="P19" r:id="rId18" xr:uid="{00000000-0004-0000-0000-000011000000}"/>
    <hyperlink ref="P20" r:id="rId19" xr:uid="{00000000-0004-0000-0000-000012000000}"/>
    <hyperlink ref="P21" r:id="rId20" xr:uid="{00000000-0004-0000-0000-000013000000}"/>
    <hyperlink ref="P22" r:id="rId21" xr:uid="{00000000-0004-0000-0000-000014000000}"/>
    <hyperlink ref="P23" r:id="rId22" xr:uid="{00000000-0004-0000-0000-000015000000}"/>
    <hyperlink ref="P24" r:id="rId23" xr:uid="{00000000-0004-0000-0000-000016000000}"/>
    <hyperlink ref="P25" r:id="rId24" xr:uid="{00000000-0004-0000-0000-000017000000}"/>
    <hyperlink ref="P26" r:id="rId25" xr:uid="{00000000-0004-0000-0000-000018000000}"/>
    <hyperlink ref="P27" r:id="rId26" xr:uid="{00000000-0004-0000-0000-000019000000}"/>
    <hyperlink ref="P28" r:id="rId27" xr:uid="{00000000-0004-0000-0000-00001A000000}"/>
    <hyperlink ref="P29" r:id="rId28" xr:uid="{00000000-0004-0000-0000-00001B000000}"/>
    <hyperlink ref="P30" r:id="rId29" xr:uid="{00000000-0004-0000-0000-00001C000000}"/>
    <hyperlink ref="P31" r:id="rId30" xr:uid="{00000000-0004-0000-0000-00001D000000}"/>
    <hyperlink ref="P32" r:id="rId31" xr:uid="{00000000-0004-0000-0000-00001E000000}"/>
    <hyperlink ref="P33" r:id="rId32" xr:uid="{00000000-0004-0000-0000-00001F000000}"/>
    <hyperlink ref="P34" r:id="rId33" xr:uid="{00000000-0004-0000-0000-000020000000}"/>
    <hyperlink ref="P35" r:id="rId34" xr:uid="{00000000-0004-0000-0000-000021000000}"/>
    <hyperlink ref="P36" r:id="rId35" xr:uid="{00000000-0004-0000-0000-000022000000}"/>
    <hyperlink ref="P37" r:id="rId36" xr:uid="{00000000-0004-0000-0000-000023000000}"/>
    <hyperlink ref="P38" r:id="rId37" xr:uid="{00000000-0004-0000-0000-000024000000}"/>
    <hyperlink ref="P39" r:id="rId38" xr:uid="{00000000-0004-0000-0000-000025000000}"/>
    <hyperlink ref="P40" r:id="rId39" xr:uid="{00000000-0004-0000-0000-000026000000}"/>
    <hyperlink ref="P41" r:id="rId40" xr:uid="{00000000-0004-0000-0000-000027000000}"/>
    <hyperlink ref="P42" r:id="rId41" xr:uid="{00000000-0004-0000-0000-000028000000}"/>
    <hyperlink ref="P43" r:id="rId42" xr:uid="{00000000-0004-0000-0000-000029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Andrei Zlobin</cp:lastModifiedBy>
  <cp:revision>0</cp:revision>
  <dcterms:created xsi:type="dcterms:W3CDTF">2026-04-10T07:23:48Z</dcterms:created>
  <dcterms:modified xsi:type="dcterms:W3CDTF">2026-04-11T21:04:09Z</dcterms:modified>
  <dc:language>en-US</dc:language>
</cp:coreProperties>
</file>